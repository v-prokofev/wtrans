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y HW Projects\Boba_projects\4_20mA_Converter\An_IF_Converter_V1.0\Project Outputs\2026-02-12 An_IF_Converter_V1.0\Fabrication\BOM\"/>
    </mc:Choice>
  </mc:AlternateContent>
  <xr:revisionPtr revIDLastSave="0" documentId="8_{D5DD30D8-E107-4DA3-99D7-D7664004D1AF}" xr6:coauthVersionLast="45" xr6:coauthVersionMax="45" xr10:uidLastSave="{00000000-0000-0000-0000-000000000000}"/>
  <bookViews>
    <workbookView xWindow="3540" yWindow="2940" windowWidth="17775" windowHeight="11460" xr2:uid="{00000000-000D-0000-FFFF-FFFF00000000}"/>
  </bookViews>
  <sheets>
    <sheet name="BOM Report" sheetId="1" r:id="rId1"/>
    <sheet name="Project Information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8" i="1" l="1"/>
  <c r="E8" i="1" l="1"/>
  <c r="B8" i="1"/>
</calcChain>
</file>

<file path=xl/sharedStrings.xml><?xml version="1.0" encoding="utf-8"?>
<sst xmlns="http://schemas.openxmlformats.org/spreadsheetml/2006/main" count="364" uniqueCount="258">
  <si>
    <t>Creation Date:</t>
  </si>
  <si>
    <t>Print Date:</t>
  </si>
  <si>
    <t xml:space="preserve"> 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</si>
  <si>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</si>
  <si>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</si>
  <si>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</si>
  <si>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</si>
  <si>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</si>
  <si>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</si>
  <si>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</si>
  <si>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</si>
  <si>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</si>
  <si>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</si>
  <si>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</si>
  <si>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</si>
  <si>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</si>
  <si>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</si>
  <si>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Bill of Materials</t>
  </si>
  <si>
    <t>Bill of Materials for Project [An_IF_Converter_V1.0.PrjPcb] (No PCB Document Selected)</t>
  </si>
  <si>
    <t>12.02.2026</t>
  </si>
  <si>
    <t>22:11</t>
  </si>
  <si>
    <t>Designator</t>
  </si>
  <si>
    <t>1C1, 2C1</t>
  </si>
  <si>
    <t>1C2, 2C2, C21, C28</t>
  </si>
  <si>
    <t>1C3, 1C5, 1C6, 1C7, 1C8, 1C9, 2C3, 2C5, 2C6, 2C7, 2C8, 2C9, C16, C17, C18, C19, C20, C22, C24, C25</t>
  </si>
  <si>
    <t>1C4, 2C4, C26, C27</t>
  </si>
  <si>
    <t>1C10, 2C10, C23, C29, C30</t>
  </si>
  <si>
    <t>1C11, 1C12, 1C13, 2C11, 2C12, 2C13</t>
  </si>
  <si>
    <t>1DA1, 2DA1</t>
  </si>
  <si>
    <t>1DA2, 2DA2</t>
  </si>
  <si>
    <t>1DA3, 2DA3</t>
  </si>
  <si>
    <t>1DD1, 2DD1</t>
  </si>
  <si>
    <t>1FU1, 2FU1, FU2</t>
  </si>
  <si>
    <t>1R1, 2R1</t>
  </si>
  <si>
    <t>1R2, 2R2</t>
  </si>
  <si>
    <t>1R3, 2R3</t>
  </si>
  <si>
    <t>1R4, 1R5, 1R6, 1R7, 1R8, 1R9, 2R4, 2R5, 2R6, 2R7, 2R8, 2R9, R26, R28, R34, R36</t>
  </si>
  <si>
    <t>1R10, 2R10</t>
  </si>
  <si>
    <t>1VD1, 2VD1</t>
  </si>
  <si>
    <t>1VD2, 1VD3, 2VD2, 2VD3</t>
  </si>
  <si>
    <t>1VT1, 2VT1</t>
  </si>
  <si>
    <t>1VU1, 2VU1</t>
  </si>
  <si>
    <t>C14, C15</t>
  </si>
  <si>
    <t>DA4, DA5</t>
  </si>
  <si>
    <t>DD2</t>
  </si>
  <si>
    <t>FU3, FU4, FU5, FU6</t>
  </si>
  <si>
    <t>FU7</t>
  </si>
  <si>
    <t>HL1</t>
  </si>
  <si>
    <t>HL2</t>
  </si>
  <si>
    <t>L1</t>
  </si>
  <si>
    <t>L2, L3, L4</t>
  </si>
  <si>
    <t>R11</t>
  </si>
  <si>
    <t>R12, R13, R15, R16, R17, R18, R19, R20, R21, R22, R23, R24, R29, R31, R32, R37, R39, R40</t>
  </si>
  <si>
    <t>R14, R41</t>
  </si>
  <si>
    <t>R25, R27, R33, R35</t>
  </si>
  <si>
    <t>R30, R38</t>
  </si>
  <si>
    <t>S1</t>
  </si>
  <si>
    <t>U1</t>
  </si>
  <si>
    <t>U2</t>
  </si>
  <si>
    <t>VD4</t>
  </si>
  <si>
    <t>VD5, VD6</t>
  </si>
  <si>
    <t>VD7</t>
  </si>
  <si>
    <t>VD8</t>
  </si>
  <si>
    <t>VT2</t>
  </si>
  <si>
    <t>X1, X2, X3, X4, X5, X6, X7, X8</t>
  </si>
  <si>
    <t>X9, X10</t>
  </si>
  <si>
    <t>X11, X12, X13, X14, X15, X16, X17, X18</t>
  </si>
  <si>
    <t>ZQ1</t>
  </si>
  <si>
    <t>Номинал</t>
  </si>
  <si>
    <t>1nF</t>
  </si>
  <si>
    <t>4.7uF</t>
  </si>
  <si>
    <t>0.1uF</t>
  </si>
  <si>
    <t>1uF</t>
  </si>
  <si>
    <t>2.2nF</t>
  </si>
  <si>
    <t>158k</t>
  </si>
  <si>
    <t>100k</t>
  </si>
  <si>
    <t>10pF</t>
  </si>
  <si>
    <t>600 @ 100MHz</t>
  </si>
  <si>
    <t>220 @ 100MHz</t>
  </si>
  <si>
    <t>10k</t>
  </si>
  <si>
    <t>1k</t>
  </si>
  <si>
    <t>Напряжение</t>
  </si>
  <si>
    <t>100V</t>
  </si>
  <si>
    <t>25V</t>
  </si>
  <si>
    <t>50V</t>
  </si>
  <si>
    <t>33V</t>
  </si>
  <si>
    <t>60V</t>
  </si>
  <si>
    <t>75V</t>
  </si>
  <si>
    <t>3.9V</t>
  </si>
  <si>
    <t>40V</t>
  </si>
  <si>
    <t>1.2V</t>
  </si>
  <si>
    <t>2.5V</t>
  </si>
  <si>
    <t>150V</t>
  </si>
  <si>
    <t>24V</t>
  </si>
  <si>
    <t>58V</t>
  </si>
  <si>
    <t>7.0V</t>
  </si>
  <si>
    <t>15V</t>
  </si>
  <si>
    <t>-60V</t>
  </si>
  <si>
    <t>320V</t>
  </si>
  <si>
    <t>250V</t>
  </si>
  <si>
    <t>Точность</t>
  </si>
  <si>
    <t>±0.25pF</t>
  </si>
  <si>
    <t>±15ppm</t>
  </si>
  <si>
    <t>Температурный диапазон</t>
  </si>
  <si>
    <t>-55°C ~ 125°C</t>
  </si>
  <si>
    <t>-55°C ~ 85°C</t>
  </si>
  <si>
    <t>-40°C ~ 125°C</t>
  </si>
  <si>
    <t>-40°C ~ 125°C (TA)</t>
  </si>
  <si>
    <t>-40°C ~ 105°C</t>
  </si>
  <si>
    <t>-40°C ~ 85°C</t>
  </si>
  <si>
    <t>-55°C ~ 155°C</t>
  </si>
  <si>
    <t>-55°C ~ 150°C</t>
  </si>
  <si>
    <t>-65°C ~ 150°C</t>
  </si>
  <si>
    <t>-55°C ~ 150°C (TJ)</t>
  </si>
  <si>
    <t>-55°C ~ 110°C</t>
  </si>
  <si>
    <t>-40°C ~ 85°C (TA)</t>
  </si>
  <si>
    <t>-40°C ~ 80°C</t>
  </si>
  <si>
    <t>-55°C ~ 100°C</t>
  </si>
  <si>
    <t>Описание</t>
  </si>
  <si>
    <t>1000 pF ±10% 100V Ceramic Capacitor X7R 0603 (1608 Metric)</t>
  </si>
  <si>
    <t>4.7 µF ±10% 25V Ceramic Capacitor X5R 0805 (2012 Metric)</t>
  </si>
  <si>
    <t>0.1 µF ±10% 50V Ceramic Capacitor X7R 0603 (1608 Metric)</t>
  </si>
  <si>
    <t>4.7 µF ±10% 50V Ceramic Capacitor X7R 1206 (3216 Metric)</t>
  </si>
  <si>
    <t>1 µF ±10% 50V Ceramic Capacitor X7R 0603 (1608 Metric)</t>
  </si>
  <si>
    <t>2200 pF ±5% 50V Ceramic Capacitor C0G, NP0 0603 (1608 Metric)</t>
  </si>
  <si>
    <t>Linear Voltage Regulator IC Positive Adjustable 1 Output 50mA 8-HVSSOP</t>
  </si>
  <si>
    <t>Mixed Technology TVS Device Circuit 42.5V Surface Mount 8-SON (3x3)</t>
  </si>
  <si>
    <t>16-Bit SPI-Programmable DAC for 4-20 mA Loops 16-WQFN (4x4)</t>
  </si>
  <si>
    <t>General Purpose Digital Isolator 2500Vrms 4 Channel 1Mbps 25kV/µs CMTI 16-SOIC (0.295", 7.50mm Width)</t>
  </si>
  <si>
    <t>Polymeric PTC Resettable Fuse 60V 50 mA Ih Surface Mount 1206 (3216 Metric), Concave</t>
  </si>
  <si>
    <t>158 kOhms ±1% 0.1W, 1/10W Chip Resistor 0603 (1608 Metric) Moisture Resistant Thick Film</t>
  </si>
  <si>
    <t>100 kOhms ±1% 0.1W, 1/10W Chip Resistor 0603 (1608 Metric) Moisture Resistant Thick Film</t>
  </si>
  <si>
    <t>100 Ohms ±1% 0.1W, 1/10W Chip Resistor 0603 (1608 Metric) Moisture Resistant Thick Film</t>
  </si>
  <si>
    <t>22 Ohms ±1% 0.1W, 1/10W Chip Resistor 0603 (1608 Metric) Moisture Resistant Thick Film</t>
  </si>
  <si>
    <t>300 Ohms ±1% 0.1W, 1/10W Chip Resistor 0603 (1608 Metric) Moisture Resistant Thick Film</t>
  </si>
  <si>
    <t>Zener Diode 3.9 V 500 mW ±5% Surface Mount SOD-123</t>
  </si>
  <si>
    <t>Diode 60 V 1A Surface Mount SOD-123F</t>
  </si>
  <si>
    <t>Bipolar (BJT) Transistor NPN 40 V 200 mA 300MHz 1.5 W Surface Mount SOT-223 (TO-261)</t>
  </si>
  <si>
    <t>Optoisolator Transistor Output 3750Vrms 1 Channel 4-SOP</t>
  </si>
  <si>
    <t>10 pF ±0.25pF 50V Ceramic Capacitor C0G, NP0 0603 (1608 Metric)</t>
  </si>
  <si>
    <t>1/1 Transceiver Half RS422, RS485 8-SOIC</t>
  </si>
  <si>
    <t>ARM® Cortex®-M3 STM32F1 Microcontroller IC 32-Bit Single-Core 72MHz 64KB (64K x 8) FLASH</t>
  </si>
  <si>
    <t>SURGE SUPP TBU 200MA 650VIMP SMD</t>
  </si>
  <si>
    <t>Polymeric PTC Resettable Fuse 60V 100 mA Ih Surface Mount 1206 (3216 Metric), Concave</t>
  </si>
  <si>
    <t>Green 570nm LED Indication - Discrete 2.5V 0603 (1608 Metric)</t>
  </si>
  <si>
    <t>Red 628nm LED Indication - Discrete 2.5V 0603 (1608 Metric)</t>
  </si>
  <si>
    <t>600 Ohms @ 100 MHz 1 Ferrite Bead 0603 (1608 Metric) 500mA 380mOhm</t>
  </si>
  <si>
    <t>220 Ohms @ 100 MHz 1 Power Line Ferrite Bead 0603 (1608 Metric) 1.4A 100mOhm</t>
  </si>
  <si>
    <t>560 Ohms ±1% 0.1W, 1/10W Chip Resistor 0603 (1608 Metric) Moisture Resistant Thick Film</t>
  </si>
  <si>
    <t>10 kOhms ±1% 0.1W, 1/10W Chip Resistor 0603 (1608 Metric) Moisture Resistant Thick Film</t>
  </si>
  <si>
    <t>1 kOhms ±1% 0.1W, 1/10W Chip Resistor 0603 (1608 Metric) Moisture Resistant Thick Film</t>
  </si>
  <si>
    <t>22 Ohms ±1% 0.125W, 1/8W Chip Resistor 0805 (2012 Metric) Moisture Resistant Thick Film</t>
  </si>
  <si>
    <t>120 Ohms ±1% 0.25W, 1/4W Chip Resistor 1206 (3216 Metric) Moisture Resistant Thick Film</t>
  </si>
  <si>
    <t>Dip Switch SPST 2 Position Through Hole Mount, 2.54mm Spacing, Slide (Standard) Actuator 100mA 24VDC</t>
  </si>
  <si>
    <t>Solid State SPST-NO (1 Form A) 4-SOP (0.173", 4.40mm)</t>
  </si>
  <si>
    <t>Linear Regulator Replacement DC DC Converter 1 Output 3.3V 500mA 6V - 28V Input</t>
  </si>
  <si>
    <t>121V Clamp 19A (8/20µs) Ipp Tvs Diode Surface Mount DO-214AC (SMA)</t>
  </si>
  <si>
    <t>26V, 14V Clamp 17A (8/20µs) Ipp Tvs Diode Surface Mount SOT-23-3</t>
  </si>
  <si>
    <t>Zener Diode 15 V 300 mW ±2% Surface Mount SOD-323</t>
  </si>
  <si>
    <t>50V Clamp 46A (8/20µs) Ipp Tvs Diode Surface Mount DO-214AC (SMA)</t>
  </si>
  <si>
    <t>P-Channel 60 V 3A (Ta) 1.6W (Ta) Surface Mount SuperSOT™-6</t>
  </si>
  <si>
    <t>Pluggable terminal block; 5.08m; ways: 2; angled 90; socket; male</t>
  </si>
  <si>
    <t>Connector Header Through Hole 4 position 0.100" (2.54mm)</t>
  </si>
  <si>
    <t>Pluggable terminal block; 5.08m; ways: 2; plug; female</t>
  </si>
  <si>
    <t>16 MHz ±15ppm Crystal 8pF 80 Ohms 4-SMD, No Lead</t>
  </si>
  <si>
    <t>Корпус</t>
  </si>
  <si>
    <t>0603 (1608 Metric)</t>
  </si>
  <si>
    <t>0805 (2012 Metric)</t>
  </si>
  <si>
    <t>1206 (3216 Metric)</t>
  </si>
  <si>
    <t>8-HVSSOP</t>
  </si>
  <si>
    <t>8-SON (3x3)</t>
  </si>
  <si>
    <t>16-WFQFN Exposed Pad</t>
  </si>
  <si>
    <t>16-SOIC (0.295", 7.50mm Width)</t>
  </si>
  <si>
    <t>1206 (3216 Metric), Concave</t>
  </si>
  <si>
    <t>SOD-123</t>
  </si>
  <si>
    <t>SOD-123F</t>
  </si>
  <si>
    <t>SOT-223 (TO-261)</t>
  </si>
  <si>
    <t>4-SOIC (0.173", 4.40mm Width)</t>
  </si>
  <si>
    <t>8-SOIC (0.154", 3.90mm Width)</t>
  </si>
  <si>
    <t>48-LQFP (9x9)</t>
  </si>
  <si>
    <t>6.50mm x 4.00mm</t>
  </si>
  <si>
    <t>DO-214AC, SMA</t>
  </si>
  <si>
    <t>SOT-23-3</t>
  </si>
  <si>
    <t>SOD-323</t>
  </si>
  <si>
    <t>TSOT-23-6</t>
  </si>
  <si>
    <t>3.20mm x 2.50mm</t>
  </si>
  <si>
    <t>Артикул</t>
  </si>
  <si>
    <t>CL10B102KC8NNNC</t>
  </si>
  <si>
    <t>CL21A475KAQNNNG</t>
  </si>
  <si>
    <t>CL10B104KB8NNNC</t>
  </si>
  <si>
    <t>CC1206KKX7R9BB475</t>
  </si>
  <si>
    <t>CC0603KRX7R9BB105</t>
  </si>
  <si>
    <t>CC0603JRNPO9BN222</t>
  </si>
  <si>
    <t>TPS79801QDGNRQ1</t>
  </si>
  <si>
    <t>TVS3301DRBR</t>
  </si>
  <si>
    <t>DAC161S997RGHR</t>
  </si>
  <si>
    <t>ADUM1401ARWZ</t>
  </si>
  <si>
    <t>0ZCJ0005FF2E</t>
  </si>
  <si>
    <t>RC0603FR-07158KL</t>
  </si>
  <si>
    <t>RC0603FR-07100KL</t>
  </si>
  <si>
    <t>RC0603FR-07100RL</t>
  </si>
  <si>
    <t>RC0603FR-0722RL</t>
  </si>
  <si>
    <t>RC0603FR-07300RL</t>
  </si>
  <si>
    <t>MMSZ5228BT1G</t>
  </si>
  <si>
    <t>PMEG6010CEH,115</t>
  </si>
  <si>
    <t>PZT3904T1G</t>
  </si>
  <si>
    <t>FODM217AR2</t>
  </si>
  <si>
    <t>CL10C100CB8NNNC</t>
  </si>
  <si>
    <t>ADM3483ARZ</t>
  </si>
  <si>
    <t>STM32F103C8T6</t>
  </si>
  <si>
    <t>TBU-CA065-200-WH</t>
  </si>
  <si>
    <t>0ZCJ0010FF2E</t>
  </si>
  <si>
    <t>KP-1608MGC</t>
  </si>
  <si>
    <t>KP-1608SURC</t>
  </si>
  <si>
    <t>BLM18AG601SN1D</t>
  </si>
  <si>
    <t>BLM18PG221SN1D</t>
  </si>
  <si>
    <t>RC0603FR-07560RL</t>
  </si>
  <si>
    <t>RC0603FR-0710KL</t>
  </si>
  <si>
    <t>RC0603FR-071KL</t>
  </si>
  <si>
    <t>RC0805FR-0722RL</t>
  </si>
  <si>
    <t>RC1206FR-07120RL</t>
  </si>
  <si>
    <t>DS1040-02RN</t>
  </si>
  <si>
    <t>PRAB31S</t>
  </si>
  <si>
    <t>R-78E3.3-0.5</t>
  </si>
  <si>
    <t>SMAJ58CA-TR</t>
  </si>
  <si>
    <t>CDSOT23-SM712</t>
  </si>
  <si>
    <t>BZX384-B15,115</t>
  </si>
  <si>
    <t>SMAJ24CA-TR</t>
  </si>
  <si>
    <t>FDC5614P</t>
  </si>
  <si>
    <t>2EDGR-5.08-02P-14-00A(H)</t>
  </si>
  <si>
    <t>DS1021-1X4SF11-B</t>
  </si>
  <si>
    <t>2EDGK-5.08-02P-14-00A(H)</t>
  </si>
  <si>
    <t>NX3225SA-16.000M-STD-CRS-2</t>
  </si>
  <si>
    <t>Производитель</t>
  </si>
  <si>
    <t>Samsung Electro-Mechanics</t>
  </si>
  <si>
    <t>YAGEO</t>
  </si>
  <si>
    <t>Texas Instruments</t>
  </si>
  <si>
    <t>Analog Devices Inc.</t>
  </si>
  <si>
    <t>Bel Fuse Inc.</t>
  </si>
  <si>
    <t>onsemi</t>
  </si>
  <si>
    <t>Nexperia USA Inc.</t>
  </si>
  <si>
    <t>STMicroelectronics</t>
  </si>
  <si>
    <t>Bourns Inc.</t>
  </si>
  <si>
    <t>Kingbright</t>
  </si>
  <si>
    <t>Murata Electronics</t>
  </si>
  <si>
    <t>Connfly electronic (Zhenqin)</t>
  </si>
  <si>
    <t>АО Протон</t>
  </si>
  <si>
    <t>Recom Power</t>
  </si>
  <si>
    <t>Degson Electronics</t>
  </si>
  <si>
    <t>NDK (NIHON DEMPA KOGYO CO., LTD)</t>
  </si>
  <si>
    <t>Quantity</t>
  </si>
  <si>
    <t>F:\My HW Projects\Boba_projects\4_20mA_Converter\An_IF_Converter_V1.0\An_IF_Converter_V1.0.PrjPcb</t>
  </si>
  <si>
    <t>An_IF_Converter_V1.0.PrjPcb</t>
  </si>
  <si>
    <t>None</t>
  </si>
  <si>
    <t>157</t>
  </si>
  <si>
    <t>12.02.2026 22:11</t>
  </si>
  <si>
    <t>BomReport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</si>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</sst>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</font>
    <font>
      <sz val="10"/>
      <name val="Arial"/>
      <family val="2"/>
    </font>
    <font>
      <b/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/>
    <xf numFmtId="0" fontId="0" fillId="0" borderId="2" xfId="0" applyBorder="1" applyAlignment="1"/>
    <xf numFmtId="0" fontId="0" fillId="0" borderId="0" xfId="0" applyBorder="1" applyAlignment="1"/>
    <xf numFmtId="0" fontId="0" fillId="0" borderId="0" xfId="0" applyAlignment="1">
      <alignment vertical="top"/>
    </xf>
    <xf numFmtId="0" fontId="2" fillId="0" borderId="1" xfId="0" applyFont="1" applyBorder="1" applyAlignment="1"/>
    <xf numFmtId="0" fontId="0" fillId="0" borderId="3" xfId="0" applyBorder="1" applyAlignment="1"/>
    <xf numFmtId="0" fontId="4" fillId="0" borderId="1" xfId="0" applyFont="1" applyBorder="1" applyAlignment="1"/>
    <xf numFmtId="0" fontId="4" fillId="0" borderId="0" xfId="0" applyFont="1" applyBorder="1" applyAlignment="1"/>
    <xf numFmtId="164" fontId="0" fillId="0" borderId="4" xfId="0" applyNumberFormat="1" applyBorder="1" applyAlignment="1">
      <alignment horizontal="left"/>
    </xf>
    <xf numFmtId="165" fontId="0" fillId="0" borderId="4" xfId="0" applyNumberFormat="1" applyBorder="1" applyAlignment="1">
      <alignment horizontal="left"/>
    </xf>
    <xf numFmtId="0" fontId="5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3" borderId="5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0" xfId="0" applyNumberFormat="1" applyFont="1" applyFill="1" applyBorder="1" applyAlignment="1" applyProtection="1">
      <protection locked="0"/>
    </xf>
    <xf numFmtId="0" fontId="2" fillId="0" borderId="13" xfId="0" applyFont="1" applyBorder="1" applyAlignment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/>
    <xf numFmtId="0" fontId="0" fillId="0" borderId="3" xfId="0" applyBorder="1"/>
    <xf numFmtId="0" fontId="0" fillId="0" borderId="0" xfId="0" applyBorder="1"/>
    <xf numFmtId="0" fontId="0" fillId="0" borderId="12" xfId="0" applyBorder="1"/>
    <xf numFmtId="14" fontId="0" fillId="0" borderId="1" xfId="0" applyNumberFormat="1" applyBorder="1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0" fontId="3" fillId="4" borderId="1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4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4" borderId="14" xfId="0" applyFill="1" applyBorder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top"/>
    </xf>
    <xf numFmtId="0" fontId="0" fillId="0" borderId="0" xfId="0" quotePrefix="1"/>
    <xf numFmtId="0" fontId="0" fillId="0" borderId="2" xfId="0" quotePrefix="1" applyBorder="1" applyAlignment="1">
      <alignment horizontal="left"/>
    </xf>
    <xf numFmtId="9" fontId="5" fillId="0" borderId="14" xfId="0" applyNumberFormat="1" applyFont="1" applyBorder="1" applyAlignment="1">
      <alignment horizontal="left" vertical="center"/>
    </xf>
    <xf numFmtId="9" fontId="0" fillId="4" borderId="14" xfId="0" applyNumberFormat="1" applyFill="1" applyBorder="1" applyAlignment="1">
      <alignment horizontal="left" vertical="center"/>
    </xf>
    <xf numFmtId="0" fontId="0" fillId="3" borderId="6" xfId="0" quotePrefix="1" applyFill="1" applyBorder="1" applyAlignment="1">
      <alignment horizontal="left" vertical="center"/>
    </xf>
    <xf numFmtId="0" fontId="0" fillId="2" borderId="8" xfId="0" quotePrefix="1" applyFill="1" applyBorder="1" applyAlignment="1">
      <alignment horizontal="left" vertical="center"/>
    </xf>
    <xf numFmtId="0" fontId="0" fillId="3" borderId="8" xfId="0" quotePrefix="1" applyFill="1" applyBorder="1" applyAlignment="1">
      <alignment horizontal="left" vertical="center"/>
    </xf>
    <xf numFmtId="0" fontId="0" fillId="2" borderId="10" xfId="0" quotePrefix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7"/>
  <sheetViews>
    <sheetView showGridLines="0" tabSelected="1" zoomScaleNormal="100" workbookViewId="0">
      <selection activeCell="I19" sqref="I19"/>
    </sheetView>
  </sheetViews>
  <sheetFormatPr defaultRowHeight="12.75" x14ac:dyDescent="0.2"/>
  <cols>
    <col min="1" max="1" width="13.5703125" style="4" customWidth="1"/>
    <col min="2" max="2" width="18.5703125" style="12" customWidth="1"/>
    <col min="3" max="4" width="10.140625" style="12" customWidth="1"/>
    <col min="5" max="5" width="10.5703125" style="12" customWidth="1"/>
    <col min="6" max="6" width="35.85546875" style="4" customWidth="1"/>
    <col min="7" max="7" width="18.140625" style="4" customWidth="1"/>
    <col min="8" max="9" width="27.7109375" style="4" customWidth="1"/>
    <col min="10" max="16384" width="9.140625" style="4"/>
  </cols>
  <sheetData>
    <row r="1" spans="1:11" x14ac:dyDescent="0.2">
      <c r="A1"/>
      <c r="B1"/>
      <c r="C1"/>
      <c r="D1"/>
      <c r="E1"/>
      <c r="F1"/>
      <c r="G1"/>
      <c r="H1" s="29"/>
      <c r="I1" s="29"/>
      <c r="J1" s="6"/>
      <c r="K1"/>
    </row>
    <row r="2" spans="1:11" ht="37.5" customHeight="1" x14ac:dyDescent="0.2">
      <c r="A2" s="23" t="s">
        <v>17</v>
      </c>
      <c r="B2" s="21"/>
      <c r="C2" s="21"/>
      <c r="D2" s="21"/>
      <c r="E2"/>
      <c r="F2"/>
      <c r="G2"/>
      <c r="H2" s="29"/>
      <c r="I2" s="29"/>
      <c r="J2" s="6"/>
      <c r="K2"/>
    </row>
    <row r="3" spans="1:11" ht="23.25" customHeight="1" x14ac:dyDescent="0.2">
      <c r="A3" s="48" t="s">
        <v>18</v>
      </c>
      <c r="B3" s="21"/>
      <c r="C3" s="21"/>
      <c r="D3" s="21"/>
      <c r="E3"/>
      <c r="F3"/>
      <c r="G3" s="3"/>
      <c r="H3" s="3"/>
      <c r="I3" s="3"/>
      <c r="J3" s="6"/>
      <c r="K3"/>
    </row>
    <row r="4" spans="1:11" ht="17.25" customHeight="1" x14ac:dyDescent="0.2">
      <c r="A4" s="5"/>
      <c r="B4" s="21"/>
      <c r="C4" s="21"/>
      <c r="D4" s="21"/>
      <c r="E4"/>
      <c r="F4"/>
      <c r="G4" s="3"/>
      <c r="H4" s="3"/>
      <c r="I4" s="3"/>
      <c r="J4" s="6"/>
      <c r="K4"/>
    </row>
    <row r="5" spans="1:11" ht="17.25" customHeight="1" x14ac:dyDescent="0.2">
      <c r="A5" s="5"/>
      <c r="B5" s="21"/>
      <c r="C5" s="21"/>
      <c r="D5" s="21"/>
      <c r="E5"/>
      <c r="F5"/>
      <c r="G5" s="3"/>
      <c r="H5" s="3"/>
      <c r="I5" s="3"/>
      <c r="J5" s="6"/>
      <c r="K5"/>
    </row>
    <row r="6" spans="1:11" x14ac:dyDescent="0.2">
      <c r="A6" s="25"/>
      <c r="B6" s="26"/>
      <c r="C6" s="26"/>
      <c r="D6" s="26"/>
      <c r="E6" s="19"/>
      <c r="F6" s="2"/>
      <c r="G6" s="27"/>
      <c r="H6" s="2"/>
      <c r="I6" s="3"/>
      <c r="J6" s="6"/>
      <c r="K6"/>
    </row>
    <row r="7" spans="1:11" ht="15.75" customHeight="1" x14ac:dyDescent="0.2">
      <c r="A7" s="7" t="s">
        <v>0</v>
      </c>
      <c r="B7" s="49" t="s">
        <v>19</v>
      </c>
      <c r="C7" s="19"/>
      <c r="D7" s="19"/>
      <c r="E7" s="49" t="s">
        <v>20</v>
      </c>
      <c r="F7" s="8"/>
      <c r="G7" s="3"/>
      <c r="H7"/>
      <c r="I7"/>
      <c r="J7" s="30"/>
      <c r="K7"/>
    </row>
    <row r="8" spans="1:11" ht="15.75" customHeight="1" x14ac:dyDescent="0.2">
      <c r="A8" s="1" t="s">
        <v>1</v>
      </c>
      <c r="B8" s="9">
        <f ca="1">TODAY()</f>
        <v>46065</v>
      </c>
      <c r="C8" s="9"/>
      <c r="D8" s="9"/>
      <c r="E8" s="10">
        <f ca="1">NOW()</f>
        <v>46065.924922685183</v>
      </c>
      <c r="F8" s="8"/>
      <c r="G8" s="3"/>
      <c r="H8"/>
      <c r="I8"/>
      <c r="J8" s="28"/>
      <c r="K8"/>
    </row>
    <row r="9" spans="1:11" ht="15.75" customHeight="1" x14ac:dyDescent="0.2">
      <c r="A9" s="7"/>
      <c r="B9" s="20"/>
      <c r="C9" s="20"/>
      <c r="D9" s="20"/>
      <c r="E9" s="20"/>
      <c r="F9" s="8"/>
      <c r="G9" s="3"/>
      <c r="H9"/>
      <c r="I9"/>
      <c r="J9" s="28"/>
      <c r="K9"/>
    </row>
    <row r="10" spans="1:11" ht="15.75" customHeight="1" x14ac:dyDescent="0.2">
      <c r="A10" s="1"/>
      <c r="B10" s="21"/>
      <c r="C10" s="21"/>
      <c r="D10" s="21"/>
      <c r="E10" s="21"/>
      <c r="F10" s="3"/>
      <c r="G10" s="3"/>
      <c r="H10"/>
      <c r="I10"/>
      <c r="J10" s="28"/>
      <c r="K10"/>
    </row>
    <row r="11" spans="1:11" s="22" customFormat="1" ht="19.5" customHeight="1" x14ac:dyDescent="0.2">
      <c r="A11" s="33" t="s">
        <v>21</v>
      </c>
      <c r="B11" s="34" t="s">
        <v>68</v>
      </c>
      <c r="C11" s="35" t="s">
        <v>81</v>
      </c>
      <c r="D11" s="34" t="s">
        <v>100</v>
      </c>
      <c r="E11" s="34" t="s">
        <v>103</v>
      </c>
      <c r="F11" s="34" t="s">
        <v>118</v>
      </c>
      <c r="G11" s="34" t="s">
        <v>165</v>
      </c>
      <c r="H11" s="35" t="s">
        <v>186</v>
      </c>
      <c r="I11" s="35" t="s">
        <v>233</v>
      </c>
      <c r="J11" s="36" t="s">
        <v>250</v>
      </c>
      <c r="K11" s="37"/>
    </row>
    <row r="12" spans="1:11" s="11" customFormat="1" ht="16.5" customHeight="1" x14ac:dyDescent="0.2">
      <c r="A12" s="38" t="s">
        <v>22</v>
      </c>
      <c r="B12" s="38" t="s">
        <v>69</v>
      </c>
      <c r="C12" s="38" t="s">
        <v>82</v>
      </c>
      <c r="D12" s="50">
        <v>0.1</v>
      </c>
      <c r="E12" s="38" t="s">
        <v>104</v>
      </c>
      <c r="F12" s="38" t="s">
        <v>119</v>
      </c>
      <c r="G12" s="38" t="s">
        <v>166</v>
      </c>
      <c r="H12" s="39" t="s">
        <v>187</v>
      </c>
      <c r="I12" s="39" t="s">
        <v>234</v>
      </c>
      <c r="J12" s="42">
        <v>2</v>
      </c>
      <c r="K12" s="15"/>
    </row>
    <row r="13" spans="1:11" s="47" customFormat="1" ht="16.5" customHeight="1" x14ac:dyDescent="0.2">
      <c r="A13" s="44" t="s">
        <v>23</v>
      </c>
      <c r="B13" s="44" t="s">
        <v>70</v>
      </c>
      <c r="C13" s="44" t="s">
        <v>83</v>
      </c>
      <c r="D13" s="51">
        <v>0.1</v>
      </c>
      <c r="E13" s="44" t="s">
        <v>105</v>
      </c>
      <c r="F13" s="44" t="s">
        <v>120</v>
      </c>
      <c r="G13" s="44" t="s">
        <v>167</v>
      </c>
      <c r="H13" s="44" t="s">
        <v>188</v>
      </c>
      <c r="I13" s="44" t="s">
        <v>234</v>
      </c>
      <c r="J13" s="45">
        <v>4</v>
      </c>
      <c r="K13" s="46"/>
    </row>
    <row r="14" spans="1:11" s="47" customFormat="1" ht="16.5" customHeight="1" x14ac:dyDescent="0.2">
      <c r="A14" s="38" t="s">
        <v>24</v>
      </c>
      <c r="B14" s="38" t="s">
        <v>71</v>
      </c>
      <c r="C14" s="38" t="s">
        <v>84</v>
      </c>
      <c r="D14" s="50">
        <v>0.1</v>
      </c>
      <c r="E14" s="38" t="s">
        <v>104</v>
      </c>
      <c r="F14" s="38" t="s">
        <v>121</v>
      </c>
      <c r="G14" s="38" t="s">
        <v>166</v>
      </c>
      <c r="H14" s="39" t="s">
        <v>189</v>
      </c>
      <c r="I14" s="39" t="s">
        <v>234</v>
      </c>
      <c r="J14" s="42">
        <v>20</v>
      </c>
      <c r="K14" s="15"/>
    </row>
    <row r="15" spans="1:11" s="47" customFormat="1" ht="16.5" customHeight="1" x14ac:dyDescent="0.2">
      <c r="A15" s="44" t="s">
        <v>25</v>
      </c>
      <c r="B15" s="44" t="s">
        <v>70</v>
      </c>
      <c r="C15" s="44" t="s">
        <v>84</v>
      </c>
      <c r="D15" s="51">
        <v>0.1</v>
      </c>
      <c r="E15" s="44" t="s">
        <v>104</v>
      </c>
      <c r="F15" s="44" t="s">
        <v>122</v>
      </c>
      <c r="G15" s="44" t="s">
        <v>168</v>
      </c>
      <c r="H15" s="44" t="s">
        <v>190</v>
      </c>
      <c r="I15" s="44" t="s">
        <v>235</v>
      </c>
      <c r="J15" s="45">
        <v>4</v>
      </c>
      <c r="K15" s="46"/>
    </row>
    <row r="16" spans="1:11" s="47" customFormat="1" ht="16.5" customHeight="1" x14ac:dyDescent="0.2">
      <c r="A16" s="38" t="s">
        <v>26</v>
      </c>
      <c r="B16" s="38" t="s">
        <v>72</v>
      </c>
      <c r="C16" s="38" t="s">
        <v>84</v>
      </c>
      <c r="D16" s="50">
        <v>0.1</v>
      </c>
      <c r="E16" s="38" t="s">
        <v>104</v>
      </c>
      <c r="F16" s="38" t="s">
        <v>123</v>
      </c>
      <c r="G16" s="38" t="s">
        <v>166</v>
      </c>
      <c r="H16" s="39" t="s">
        <v>191</v>
      </c>
      <c r="I16" s="39" t="s">
        <v>235</v>
      </c>
      <c r="J16" s="42">
        <v>5</v>
      </c>
      <c r="K16" s="15"/>
    </row>
    <row r="17" spans="1:11" s="47" customFormat="1" ht="16.5" customHeight="1" x14ac:dyDescent="0.2">
      <c r="A17" s="44" t="s">
        <v>27</v>
      </c>
      <c r="B17" s="44" t="s">
        <v>73</v>
      </c>
      <c r="C17" s="44" t="s">
        <v>84</v>
      </c>
      <c r="D17" s="51">
        <v>0.05</v>
      </c>
      <c r="E17" s="44" t="s">
        <v>104</v>
      </c>
      <c r="F17" s="44" t="s">
        <v>124</v>
      </c>
      <c r="G17" s="44" t="s">
        <v>166</v>
      </c>
      <c r="H17" s="44" t="s">
        <v>192</v>
      </c>
      <c r="I17" s="44" t="s">
        <v>235</v>
      </c>
      <c r="J17" s="45">
        <v>6</v>
      </c>
      <c r="K17" s="46"/>
    </row>
    <row r="18" spans="1:11" s="47" customFormat="1" ht="16.5" customHeight="1" x14ac:dyDescent="0.2">
      <c r="A18" s="38" t="s">
        <v>28</v>
      </c>
      <c r="B18" s="38"/>
      <c r="C18" s="38"/>
      <c r="D18" s="38"/>
      <c r="E18" s="38" t="s">
        <v>106</v>
      </c>
      <c r="F18" s="38" t="s">
        <v>125</v>
      </c>
      <c r="G18" s="38" t="s">
        <v>169</v>
      </c>
      <c r="H18" s="39" t="s">
        <v>193</v>
      </c>
      <c r="I18" s="39" t="s">
        <v>236</v>
      </c>
      <c r="J18" s="42">
        <v>2</v>
      </c>
      <c r="K18" s="15"/>
    </row>
    <row r="19" spans="1:11" s="47" customFormat="1" ht="16.5" customHeight="1" x14ac:dyDescent="0.2">
      <c r="A19" s="44" t="s">
        <v>29</v>
      </c>
      <c r="B19" s="44"/>
      <c r="C19" s="44" t="s">
        <v>85</v>
      </c>
      <c r="D19" s="44"/>
      <c r="E19" s="44" t="s">
        <v>107</v>
      </c>
      <c r="F19" s="44" t="s">
        <v>126</v>
      </c>
      <c r="G19" s="44" t="s">
        <v>170</v>
      </c>
      <c r="H19" s="44" t="s">
        <v>194</v>
      </c>
      <c r="I19" s="44" t="s">
        <v>236</v>
      </c>
      <c r="J19" s="45">
        <v>2</v>
      </c>
      <c r="K19" s="46"/>
    </row>
    <row r="20" spans="1:11" s="47" customFormat="1" ht="16.5" customHeight="1" x14ac:dyDescent="0.2">
      <c r="A20" s="38" t="s">
        <v>30</v>
      </c>
      <c r="B20" s="38"/>
      <c r="C20" s="38"/>
      <c r="D20" s="38"/>
      <c r="E20" s="38" t="s">
        <v>108</v>
      </c>
      <c r="F20" s="38" t="s">
        <v>127</v>
      </c>
      <c r="G20" s="38" t="s">
        <v>171</v>
      </c>
      <c r="H20" s="39" t="s">
        <v>195</v>
      </c>
      <c r="I20" s="39" t="s">
        <v>236</v>
      </c>
      <c r="J20" s="42">
        <v>2</v>
      </c>
      <c r="K20" s="15"/>
    </row>
    <row r="21" spans="1:11" s="47" customFormat="1" ht="16.5" customHeight="1" x14ac:dyDescent="0.2">
      <c r="A21" s="44" t="s">
        <v>31</v>
      </c>
      <c r="B21" s="44"/>
      <c r="C21" s="44"/>
      <c r="D21" s="44"/>
      <c r="E21" s="44" t="s">
        <v>108</v>
      </c>
      <c r="F21" s="44" t="s">
        <v>128</v>
      </c>
      <c r="G21" s="44" t="s">
        <v>172</v>
      </c>
      <c r="H21" s="44" t="s">
        <v>196</v>
      </c>
      <c r="I21" s="44" t="s">
        <v>237</v>
      </c>
      <c r="J21" s="45">
        <v>2</v>
      </c>
      <c r="K21" s="46"/>
    </row>
    <row r="22" spans="1:11" s="47" customFormat="1" ht="16.5" customHeight="1" x14ac:dyDescent="0.2">
      <c r="A22" s="38" t="s">
        <v>32</v>
      </c>
      <c r="B22" s="38"/>
      <c r="C22" s="38" t="s">
        <v>86</v>
      </c>
      <c r="D22" s="38"/>
      <c r="E22" s="38" t="s">
        <v>109</v>
      </c>
      <c r="F22" s="38" t="s">
        <v>129</v>
      </c>
      <c r="G22" s="38" t="s">
        <v>173</v>
      </c>
      <c r="H22" s="39" t="s">
        <v>197</v>
      </c>
      <c r="I22" s="39" t="s">
        <v>238</v>
      </c>
      <c r="J22" s="42">
        <v>3</v>
      </c>
      <c r="K22" s="15"/>
    </row>
    <row r="23" spans="1:11" s="47" customFormat="1" ht="16.5" customHeight="1" x14ac:dyDescent="0.2">
      <c r="A23" s="44" t="s">
        <v>33</v>
      </c>
      <c r="B23" s="44" t="s">
        <v>74</v>
      </c>
      <c r="C23" s="44" t="s">
        <v>87</v>
      </c>
      <c r="D23" s="51">
        <v>0.01</v>
      </c>
      <c r="E23" s="44" t="s">
        <v>110</v>
      </c>
      <c r="F23" s="44" t="s">
        <v>130</v>
      </c>
      <c r="G23" s="44" t="s">
        <v>166</v>
      </c>
      <c r="H23" s="44" t="s">
        <v>198</v>
      </c>
      <c r="I23" s="44" t="s">
        <v>235</v>
      </c>
      <c r="J23" s="45">
        <v>2</v>
      </c>
      <c r="K23" s="46"/>
    </row>
    <row r="24" spans="1:11" s="47" customFormat="1" ht="16.5" customHeight="1" x14ac:dyDescent="0.2">
      <c r="A24" s="38" t="s">
        <v>34</v>
      </c>
      <c r="B24" s="38" t="s">
        <v>75</v>
      </c>
      <c r="C24" s="38" t="s">
        <v>87</v>
      </c>
      <c r="D24" s="50">
        <v>0.01</v>
      </c>
      <c r="E24" s="38" t="s">
        <v>110</v>
      </c>
      <c r="F24" s="38" t="s">
        <v>131</v>
      </c>
      <c r="G24" s="38" t="s">
        <v>166</v>
      </c>
      <c r="H24" s="39" t="s">
        <v>199</v>
      </c>
      <c r="I24" s="39" t="s">
        <v>235</v>
      </c>
      <c r="J24" s="42">
        <v>2</v>
      </c>
      <c r="K24" s="15"/>
    </row>
    <row r="25" spans="1:11" s="47" customFormat="1" ht="16.5" customHeight="1" x14ac:dyDescent="0.2">
      <c r="A25" s="44" t="s">
        <v>35</v>
      </c>
      <c r="B25" s="44">
        <v>100</v>
      </c>
      <c r="C25" s="44" t="s">
        <v>87</v>
      </c>
      <c r="D25" s="51">
        <v>0.01</v>
      </c>
      <c r="E25" s="44" t="s">
        <v>110</v>
      </c>
      <c r="F25" s="44" t="s">
        <v>132</v>
      </c>
      <c r="G25" s="44" t="s">
        <v>166</v>
      </c>
      <c r="H25" s="44" t="s">
        <v>200</v>
      </c>
      <c r="I25" s="44" t="s">
        <v>235</v>
      </c>
      <c r="J25" s="45">
        <v>2</v>
      </c>
      <c r="K25" s="46"/>
    </row>
    <row r="26" spans="1:11" s="47" customFormat="1" ht="16.5" customHeight="1" x14ac:dyDescent="0.2">
      <c r="A26" s="38" t="s">
        <v>36</v>
      </c>
      <c r="B26" s="38">
        <v>22</v>
      </c>
      <c r="C26" s="38" t="s">
        <v>87</v>
      </c>
      <c r="D26" s="50">
        <v>0.01</v>
      </c>
      <c r="E26" s="38" t="s">
        <v>110</v>
      </c>
      <c r="F26" s="38" t="s">
        <v>133</v>
      </c>
      <c r="G26" s="38" t="s">
        <v>166</v>
      </c>
      <c r="H26" s="39" t="s">
        <v>201</v>
      </c>
      <c r="I26" s="39" t="s">
        <v>235</v>
      </c>
      <c r="J26" s="42">
        <v>16</v>
      </c>
      <c r="K26" s="15"/>
    </row>
    <row r="27" spans="1:11" s="47" customFormat="1" ht="16.5" customHeight="1" x14ac:dyDescent="0.2">
      <c r="A27" s="44" t="s">
        <v>37</v>
      </c>
      <c r="B27" s="44">
        <v>300</v>
      </c>
      <c r="C27" s="44" t="s">
        <v>87</v>
      </c>
      <c r="D27" s="51">
        <v>0.01</v>
      </c>
      <c r="E27" s="44" t="s">
        <v>110</v>
      </c>
      <c r="F27" s="44" t="s">
        <v>134</v>
      </c>
      <c r="G27" s="44" t="s">
        <v>166</v>
      </c>
      <c r="H27" s="44" t="s">
        <v>202</v>
      </c>
      <c r="I27" s="44" t="s">
        <v>235</v>
      </c>
      <c r="J27" s="45">
        <v>2</v>
      </c>
      <c r="K27" s="46"/>
    </row>
    <row r="28" spans="1:11" s="47" customFormat="1" ht="16.5" customHeight="1" x14ac:dyDescent="0.2">
      <c r="A28" s="38" t="s">
        <v>38</v>
      </c>
      <c r="B28" s="38"/>
      <c r="C28" s="38" t="s">
        <v>88</v>
      </c>
      <c r="D28" s="38"/>
      <c r="E28" s="38" t="s">
        <v>111</v>
      </c>
      <c r="F28" s="38" t="s">
        <v>135</v>
      </c>
      <c r="G28" s="38" t="s">
        <v>174</v>
      </c>
      <c r="H28" s="39" t="s">
        <v>203</v>
      </c>
      <c r="I28" s="39" t="s">
        <v>239</v>
      </c>
      <c r="J28" s="42">
        <v>2</v>
      </c>
      <c r="K28" s="15"/>
    </row>
    <row r="29" spans="1:11" s="47" customFormat="1" ht="16.5" customHeight="1" x14ac:dyDescent="0.2">
      <c r="A29" s="44" t="s">
        <v>39</v>
      </c>
      <c r="B29" s="44"/>
      <c r="C29" s="44" t="s">
        <v>86</v>
      </c>
      <c r="D29" s="44"/>
      <c r="E29" s="44" t="s">
        <v>112</v>
      </c>
      <c r="F29" s="44" t="s">
        <v>136</v>
      </c>
      <c r="G29" s="44" t="s">
        <v>175</v>
      </c>
      <c r="H29" s="44" t="s">
        <v>204</v>
      </c>
      <c r="I29" s="44" t="s">
        <v>240</v>
      </c>
      <c r="J29" s="45">
        <v>4</v>
      </c>
      <c r="K29" s="46"/>
    </row>
    <row r="30" spans="1:11" s="47" customFormat="1" ht="16.5" customHeight="1" x14ac:dyDescent="0.2">
      <c r="A30" s="38" t="s">
        <v>40</v>
      </c>
      <c r="B30" s="38"/>
      <c r="C30" s="38" t="s">
        <v>89</v>
      </c>
      <c r="D30" s="38"/>
      <c r="E30" s="38" t="s">
        <v>113</v>
      </c>
      <c r="F30" s="38" t="s">
        <v>137</v>
      </c>
      <c r="G30" s="38" t="s">
        <v>176</v>
      </c>
      <c r="H30" s="39" t="s">
        <v>205</v>
      </c>
      <c r="I30" s="39" t="s">
        <v>239</v>
      </c>
      <c r="J30" s="42">
        <v>2</v>
      </c>
      <c r="K30" s="15"/>
    </row>
    <row r="31" spans="1:11" s="47" customFormat="1" ht="16.5" customHeight="1" x14ac:dyDescent="0.2">
      <c r="A31" s="44" t="s">
        <v>41</v>
      </c>
      <c r="B31" s="44"/>
      <c r="C31" s="44" t="s">
        <v>90</v>
      </c>
      <c r="D31" s="44"/>
      <c r="E31" s="44" t="s">
        <v>114</v>
      </c>
      <c r="F31" s="44" t="s">
        <v>138</v>
      </c>
      <c r="G31" s="44" t="s">
        <v>177</v>
      </c>
      <c r="H31" s="44" t="s">
        <v>206</v>
      </c>
      <c r="I31" s="44" t="s">
        <v>239</v>
      </c>
      <c r="J31" s="45">
        <v>2</v>
      </c>
      <c r="K31" s="46"/>
    </row>
    <row r="32" spans="1:11" s="47" customFormat="1" ht="16.5" customHeight="1" x14ac:dyDescent="0.2">
      <c r="A32" s="38" t="s">
        <v>42</v>
      </c>
      <c r="B32" s="38" t="s">
        <v>76</v>
      </c>
      <c r="C32" s="38" t="s">
        <v>84</v>
      </c>
      <c r="D32" s="38" t="s">
        <v>101</v>
      </c>
      <c r="E32" s="38" t="s">
        <v>104</v>
      </c>
      <c r="F32" s="38" t="s">
        <v>139</v>
      </c>
      <c r="G32" s="38" t="s">
        <v>166</v>
      </c>
      <c r="H32" s="39" t="s">
        <v>207</v>
      </c>
      <c r="I32" s="39" t="s">
        <v>234</v>
      </c>
      <c r="J32" s="42">
        <v>2</v>
      </c>
      <c r="K32" s="15"/>
    </row>
    <row r="33" spans="1:11" s="47" customFormat="1" ht="16.5" customHeight="1" x14ac:dyDescent="0.2">
      <c r="A33" s="44" t="s">
        <v>43</v>
      </c>
      <c r="B33" s="44"/>
      <c r="C33" s="44"/>
      <c r="D33" s="44"/>
      <c r="E33" s="44" t="s">
        <v>109</v>
      </c>
      <c r="F33" s="44" t="s">
        <v>140</v>
      </c>
      <c r="G33" s="44" t="s">
        <v>178</v>
      </c>
      <c r="H33" s="44" t="s">
        <v>208</v>
      </c>
      <c r="I33" s="44" t="s">
        <v>237</v>
      </c>
      <c r="J33" s="45">
        <v>2</v>
      </c>
      <c r="K33" s="46"/>
    </row>
    <row r="34" spans="1:11" s="47" customFormat="1" ht="16.5" customHeight="1" x14ac:dyDescent="0.2">
      <c r="A34" s="38" t="s">
        <v>44</v>
      </c>
      <c r="B34" s="38"/>
      <c r="C34" s="38"/>
      <c r="D34" s="38"/>
      <c r="E34" s="38" t="s">
        <v>115</v>
      </c>
      <c r="F34" s="38" t="s">
        <v>141</v>
      </c>
      <c r="G34" s="38" t="s">
        <v>179</v>
      </c>
      <c r="H34" s="39" t="s">
        <v>209</v>
      </c>
      <c r="I34" s="39" t="s">
        <v>241</v>
      </c>
      <c r="J34" s="42">
        <v>1</v>
      </c>
      <c r="K34" s="15"/>
    </row>
    <row r="35" spans="1:11" s="47" customFormat="1" ht="16.5" customHeight="1" x14ac:dyDescent="0.2">
      <c r="A35" s="44" t="s">
        <v>45</v>
      </c>
      <c r="B35" s="44"/>
      <c r="C35" s="44"/>
      <c r="D35" s="44"/>
      <c r="E35" s="44" t="s">
        <v>104</v>
      </c>
      <c r="F35" s="44" t="s">
        <v>142</v>
      </c>
      <c r="G35" s="44" t="s">
        <v>180</v>
      </c>
      <c r="H35" s="44" t="s">
        <v>210</v>
      </c>
      <c r="I35" s="44" t="s">
        <v>242</v>
      </c>
      <c r="J35" s="45">
        <v>4</v>
      </c>
      <c r="K35" s="46"/>
    </row>
    <row r="36" spans="1:11" s="47" customFormat="1" ht="16.5" customHeight="1" x14ac:dyDescent="0.2">
      <c r="A36" s="38" t="s">
        <v>46</v>
      </c>
      <c r="B36" s="38"/>
      <c r="C36" s="38" t="s">
        <v>86</v>
      </c>
      <c r="D36" s="38"/>
      <c r="E36" s="38" t="s">
        <v>109</v>
      </c>
      <c r="F36" s="38" t="s">
        <v>143</v>
      </c>
      <c r="G36" s="38" t="s">
        <v>173</v>
      </c>
      <c r="H36" s="39" t="s">
        <v>211</v>
      </c>
      <c r="I36" s="39" t="s">
        <v>238</v>
      </c>
      <c r="J36" s="42">
        <v>1</v>
      </c>
      <c r="K36" s="15"/>
    </row>
    <row r="37" spans="1:11" s="47" customFormat="1" ht="16.5" customHeight="1" x14ac:dyDescent="0.2">
      <c r="A37" s="44" t="s">
        <v>47</v>
      </c>
      <c r="B37" s="44"/>
      <c r="C37" s="44" t="s">
        <v>91</v>
      </c>
      <c r="D37" s="44"/>
      <c r="E37" s="44" t="s">
        <v>116</v>
      </c>
      <c r="F37" s="44" t="s">
        <v>144</v>
      </c>
      <c r="G37" s="44" t="s">
        <v>166</v>
      </c>
      <c r="H37" s="44" t="s">
        <v>212</v>
      </c>
      <c r="I37" s="44" t="s">
        <v>243</v>
      </c>
      <c r="J37" s="45">
        <v>1</v>
      </c>
      <c r="K37" s="46"/>
    </row>
    <row r="38" spans="1:11" s="47" customFormat="1" ht="16.5" customHeight="1" x14ac:dyDescent="0.2">
      <c r="A38" s="38" t="s">
        <v>48</v>
      </c>
      <c r="B38" s="38"/>
      <c r="C38" s="38" t="s">
        <v>91</v>
      </c>
      <c r="D38" s="38"/>
      <c r="E38" s="38" t="s">
        <v>116</v>
      </c>
      <c r="F38" s="38" t="s">
        <v>145</v>
      </c>
      <c r="G38" s="38" t="s">
        <v>166</v>
      </c>
      <c r="H38" s="39" t="s">
        <v>213</v>
      </c>
      <c r="I38" s="39" t="s">
        <v>243</v>
      </c>
      <c r="J38" s="42">
        <v>1</v>
      </c>
      <c r="K38" s="15"/>
    </row>
    <row r="39" spans="1:11" s="47" customFormat="1" ht="16.5" customHeight="1" x14ac:dyDescent="0.2">
      <c r="A39" s="44" t="s">
        <v>49</v>
      </c>
      <c r="B39" s="44" t="s">
        <v>77</v>
      </c>
      <c r="C39" s="44"/>
      <c r="D39" s="44"/>
      <c r="E39" s="44" t="s">
        <v>104</v>
      </c>
      <c r="F39" s="44" t="s">
        <v>146</v>
      </c>
      <c r="G39" s="44" t="s">
        <v>166</v>
      </c>
      <c r="H39" s="44" t="s">
        <v>214</v>
      </c>
      <c r="I39" s="44" t="s">
        <v>244</v>
      </c>
      <c r="J39" s="45">
        <v>1</v>
      </c>
      <c r="K39" s="46"/>
    </row>
    <row r="40" spans="1:11" s="47" customFormat="1" ht="16.5" customHeight="1" x14ac:dyDescent="0.2">
      <c r="A40" s="38" t="s">
        <v>50</v>
      </c>
      <c r="B40" s="38" t="s">
        <v>78</v>
      </c>
      <c r="C40" s="38"/>
      <c r="D40" s="38"/>
      <c r="E40" s="38" t="s">
        <v>104</v>
      </c>
      <c r="F40" s="38" t="s">
        <v>147</v>
      </c>
      <c r="G40" s="38" t="s">
        <v>166</v>
      </c>
      <c r="H40" s="39" t="s">
        <v>215</v>
      </c>
      <c r="I40" s="39" t="s">
        <v>244</v>
      </c>
      <c r="J40" s="42">
        <v>3</v>
      </c>
      <c r="K40" s="15"/>
    </row>
    <row r="41" spans="1:11" s="47" customFormat="1" ht="16.5" customHeight="1" x14ac:dyDescent="0.2">
      <c r="A41" s="44" t="s">
        <v>51</v>
      </c>
      <c r="B41" s="44">
        <v>560</v>
      </c>
      <c r="C41" s="44" t="s">
        <v>87</v>
      </c>
      <c r="D41" s="51">
        <v>0.01</v>
      </c>
      <c r="E41" s="44" t="s">
        <v>110</v>
      </c>
      <c r="F41" s="44" t="s">
        <v>148</v>
      </c>
      <c r="G41" s="44" t="s">
        <v>166</v>
      </c>
      <c r="H41" s="44" t="s">
        <v>216</v>
      </c>
      <c r="I41" s="44" t="s">
        <v>235</v>
      </c>
      <c r="J41" s="45">
        <v>1</v>
      </c>
      <c r="K41" s="46"/>
    </row>
    <row r="42" spans="1:11" s="47" customFormat="1" ht="16.5" customHeight="1" x14ac:dyDescent="0.2">
      <c r="A42" s="38" t="s">
        <v>52</v>
      </c>
      <c r="B42" s="38" t="s">
        <v>79</v>
      </c>
      <c r="C42" s="38" t="s">
        <v>87</v>
      </c>
      <c r="D42" s="50">
        <v>0.01</v>
      </c>
      <c r="E42" s="38" t="s">
        <v>110</v>
      </c>
      <c r="F42" s="38" t="s">
        <v>149</v>
      </c>
      <c r="G42" s="38" t="s">
        <v>166</v>
      </c>
      <c r="H42" s="39" t="s">
        <v>217</v>
      </c>
      <c r="I42" s="39" t="s">
        <v>235</v>
      </c>
      <c r="J42" s="42">
        <v>18</v>
      </c>
      <c r="K42" s="15"/>
    </row>
    <row r="43" spans="1:11" s="47" customFormat="1" ht="16.5" customHeight="1" x14ac:dyDescent="0.2">
      <c r="A43" s="44" t="s">
        <v>53</v>
      </c>
      <c r="B43" s="44" t="s">
        <v>80</v>
      </c>
      <c r="C43" s="44" t="s">
        <v>87</v>
      </c>
      <c r="D43" s="51">
        <v>0.01</v>
      </c>
      <c r="E43" s="44" t="s">
        <v>110</v>
      </c>
      <c r="F43" s="44" t="s">
        <v>150</v>
      </c>
      <c r="G43" s="44" t="s">
        <v>166</v>
      </c>
      <c r="H43" s="44" t="s">
        <v>218</v>
      </c>
      <c r="I43" s="44" t="s">
        <v>235</v>
      </c>
      <c r="J43" s="45">
        <v>2</v>
      </c>
      <c r="K43" s="46"/>
    </row>
    <row r="44" spans="1:11" s="47" customFormat="1" ht="16.5" customHeight="1" x14ac:dyDescent="0.2">
      <c r="A44" s="38" t="s">
        <v>54</v>
      </c>
      <c r="B44" s="38">
        <v>22</v>
      </c>
      <c r="C44" s="38" t="s">
        <v>92</v>
      </c>
      <c r="D44" s="50">
        <v>0.01</v>
      </c>
      <c r="E44" s="38" t="s">
        <v>110</v>
      </c>
      <c r="F44" s="38" t="s">
        <v>151</v>
      </c>
      <c r="G44" s="38" t="s">
        <v>167</v>
      </c>
      <c r="H44" s="39" t="s">
        <v>219</v>
      </c>
      <c r="I44" s="39" t="s">
        <v>235</v>
      </c>
      <c r="J44" s="42">
        <v>4</v>
      </c>
      <c r="K44" s="15"/>
    </row>
    <row r="45" spans="1:11" s="47" customFormat="1" ht="16.5" customHeight="1" x14ac:dyDescent="0.2">
      <c r="A45" s="44" t="s">
        <v>55</v>
      </c>
      <c r="B45" s="44">
        <v>120</v>
      </c>
      <c r="C45" s="44" t="s">
        <v>87</v>
      </c>
      <c r="D45" s="51">
        <v>0.01</v>
      </c>
      <c r="E45" s="44" t="s">
        <v>110</v>
      </c>
      <c r="F45" s="44" t="s">
        <v>152</v>
      </c>
      <c r="G45" s="44" t="s">
        <v>168</v>
      </c>
      <c r="H45" s="44" t="s">
        <v>220</v>
      </c>
      <c r="I45" s="44" t="s">
        <v>235</v>
      </c>
      <c r="J45" s="45">
        <v>2</v>
      </c>
      <c r="K45" s="46"/>
    </row>
    <row r="46" spans="1:11" s="47" customFormat="1" ht="16.5" customHeight="1" x14ac:dyDescent="0.2">
      <c r="A46" s="38" t="s">
        <v>56</v>
      </c>
      <c r="B46" s="38"/>
      <c r="C46" s="38" t="s">
        <v>93</v>
      </c>
      <c r="D46" s="38"/>
      <c r="E46" s="38"/>
      <c r="F46" s="38" t="s">
        <v>153</v>
      </c>
      <c r="G46" s="38"/>
      <c r="H46" s="39" t="s">
        <v>221</v>
      </c>
      <c r="I46" s="39" t="s">
        <v>245</v>
      </c>
      <c r="J46" s="42">
        <v>1</v>
      </c>
      <c r="K46" s="15"/>
    </row>
    <row r="47" spans="1:11" s="47" customFormat="1" ht="16.5" customHeight="1" x14ac:dyDescent="0.2">
      <c r="A47" s="44" t="s">
        <v>57</v>
      </c>
      <c r="B47" s="44"/>
      <c r="C47" s="44"/>
      <c r="D47" s="44"/>
      <c r="E47" s="44" t="s">
        <v>117</v>
      </c>
      <c r="F47" s="44" t="s">
        <v>154</v>
      </c>
      <c r="G47" s="44"/>
      <c r="H47" s="44" t="s">
        <v>222</v>
      </c>
      <c r="I47" s="44" t="s">
        <v>246</v>
      </c>
      <c r="J47" s="45">
        <v>1</v>
      </c>
      <c r="K47" s="46"/>
    </row>
    <row r="48" spans="1:11" s="47" customFormat="1" ht="16.5" customHeight="1" x14ac:dyDescent="0.2">
      <c r="A48" s="38" t="s">
        <v>58</v>
      </c>
      <c r="B48" s="38"/>
      <c r="C48" s="38"/>
      <c r="D48" s="38"/>
      <c r="E48" s="38" t="s">
        <v>109</v>
      </c>
      <c r="F48" s="38" t="s">
        <v>155</v>
      </c>
      <c r="G48" s="38"/>
      <c r="H48" s="39" t="s">
        <v>223</v>
      </c>
      <c r="I48" s="39" t="s">
        <v>247</v>
      </c>
      <c r="J48" s="42">
        <v>1</v>
      </c>
      <c r="K48" s="15"/>
    </row>
    <row r="49" spans="1:11" s="47" customFormat="1" ht="16.5" customHeight="1" x14ac:dyDescent="0.2">
      <c r="A49" s="44" t="s">
        <v>59</v>
      </c>
      <c r="B49" s="44"/>
      <c r="C49" s="44" t="s">
        <v>94</v>
      </c>
      <c r="D49" s="44"/>
      <c r="E49" s="44" t="s">
        <v>113</v>
      </c>
      <c r="F49" s="44" t="s">
        <v>156</v>
      </c>
      <c r="G49" s="44" t="s">
        <v>181</v>
      </c>
      <c r="H49" s="44" t="s">
        <v>224</v>
      </c>
      <c r="I49" s="44" t="s">
        <v>241</v>
      </c>
      <c r="J49" s="45">
        <v>1</v>
      </c>
      <c r="K49" s="46"/>
    </row>
    <row r="50" spans="1:11" s="47" customFormat="1" ht="16.5" customHeight="1" x14ac:dyDescent="0.2">
      <c r="A50" s="38" t="s">
        <v>60</v>
      </c>
      <c r="B50" s="38"/>
      <c r="C50" s="38" t="s">
        <v>95</v>
      </c>
      <c r="D50" s="38"/>
      <c r="E50" s="38" t="s">
        <v>113</v>
      </c>
      <c r="F50" s="38" t="s">
        <v>157</v>
      </c>
      <c r="G50" s="38" t="s">
        <v>182</v>
      </c>
      <c r="H50" s="39" t="s">
        <v>225</v>
      </c>
      <c r="I50" s="39" t="s">
        <v>242</v>
      </c>
      <c r="J50" s="42">
        <v>2</v>
      </c>
      <c r="K50" s="15"/>
    </row>
    <row r="51" spans="1:11" s="47" customFormat="1" ht="16.5" customHeight="1" x14ac:dyDescent="0.2">
      <c r="A51" s="44" t="s">
        <v>61</v>
      </c>
      <c r="B51" s="44"/>
      <c r="C51" s="44" t="s">
        <v>96</v>
      </c>
      <c r="D51" s="44"/>
      <c r="E51" s="44" t="s">
        <v>112</v>
      </c>
      <c r="F51" s="44" t="s">
        <v>158</v>
      </c>
      <c r="G51" s="44" t="s">
        <v>183</v>
      </c>
      <c r="H51" s="44" t="s">
        <v>226</v>
      </c>
      <c r="I51" s="44" t="s">
        <v>240</v>
      </c>
      <c r="J51" s="45">
        <v>1</v>
      </c>
      <c r="K51" s="46"/>
    </row>
    <row r="52" spans="1:11" s="47" customFormat="1" ht="16.5" customHeight="1" x14ac:dyDescent="0.2">
      <c r="A52" s="38" t="s">
        <v>62</v>
      </c>
      <c r="B52" s="38"/>
      <c r="C52" s="38" t="s">
        <v>93</v>
      </c>
      <c r="D52" s="38"/>
      <c r="E52" s="38" t="s">
        <v>113</v>
      </c>
      <c r="F52" s="38" t="s">
        <v>159</v>
      </c>
      <c r="G52" s="38" t="s">
        <v>181</v>
      </c>
      <c r="H52" s="39" t="s">
        <v>227</v>
      </c>
      <c r="I52" s="39" t="s">
        <v>241</v>
      </c>
      <c r="J52" s="42">
        <v>1</v>
      </c>
      <c r="K52" s="15"/>
    </row>
    <row r="53" spans="1:11" s="47" customFormat="1" ht="16.5" customHeight="1" x14ac:dyDescent="0.2">
      <c r="A53" s="44" t="s">
        <v>63</v>
      </c>
      <c r="B53" s="44"/>
      <c r="C53" s="44" t="s">
        <v>97</v>
      </c>
      <c r="D53" s="44"/>
      <c r="E53" s="44" t="s">
        <v>113</v>
      </c>
      <c r="F53" s="44" t="s">
        <v>160</v>
      </c>
      <c r="G53" s="44" t="s">
        <v>184</v>
      </c>
      <c r="H53" s="44" t="s">
        <v>228</v>
      </c>
      <c r="I53" s="44" t="s">
        <v>239</v>
      </c>
      <c r="J53" s="45">
        <v>1</v>
      </c>
      <c r="K53" s="46"/>
    </row>
    <row r="54" spans="1:11" s="47" customFormat="1" ht="16.5" customHeight="1" x14ac:dyDescent="0.2">
      <c r="A54" s="38" t="s">
        <v>64</v>
      </c>
      <c r="B54" s="38"/>
      <c r="C54" s="38" t="s">
        <v>98</v>
      </c>
      <c r="D54" s="38"/>
      <c r="E54" s="38" t="s">
        <v>108</v>
      </c>
      <c r="F54" s="38" t="s">
        <v>161</v>
      </c>
      <c r="G54" s="38"/>
      <c r="H54" s="39" t="s">
        <v>229</v>
      </c>
      <c r="I54" s="39" t="s">
        <v>248</v>
      </c>
      <c r="J54" s="42">
        <v>8</v>
      </c>
      <c r="K54" s="15"/>
    </row>
    <row r="55" spans="1:11" s="47" customFormat="1" ht="16.5" customHeight="1" x14ac:dyDescent="0.2">
      <c r="A55" s="44" t="s">
        <v>65</v>
      </c>
      <c r="B55" s="44"/>
      <c r="C55" s="44" t="s">
        <v>99</v>
      </c>
      <c r="D55" s="44"/>
      <c r="E55" s="44" t="s">
        <v>108</v>
      </c>
      <c r="F55" s="44" t="s">
        <v>162</v>
      </c>
      <c r="G55" s="44"/>
      <c r="H55" s="44" t="s">
        <v>230</v>
      </c>
      <c r="I55" s="44" t="s">
        <v>245</v>
      </c>
      <c r="J55" s="45">
        <v>2</v>
      </c>
      <c r="K55" s="46"/>
    </row>
    <row r="56" spans="1:11" s="47" customFormat="1" ht="16.5" customHeight="1" x14ac:dyDescent="0.2">
      <c r="A56" s="38" t="s">
        <v>66</v>
      </c>
      <c r="B56" s="38"/>
      <c r="C56" s="38" t="s">
        <v>98</v>
      </c>
      <c r="D56" s="38"/>
      <c r="E56" s="38" t="s">
        <v>108</v>
      </c>
      <c r="F56" s="38" t="s">
        <v>163</v>
      </c>
      <c r="G56" s="38"/>
      <c r="H56" s="39" t="s">
        <v>231</v>
      </c>
      <c r="I56" s="39" t="s">
        <v>248</v>
      </c>
      <c r="J56" s="42">
        <v>8</v>
      </c>
      <c r="K56" s="15"/>
    </row>
    <row r="57" spans="1:11" s="11" customFormat="1" ht="16.5" customHeight="1" x14ac:dyDescent="0.2">
      <c r="A57" s="44" t="s">
        <v>67</v>
      </c>
      <c r="B57" s="44"/>
      <c r="C57" s="44"/>
      <c r="D57" s="44" t="s">
        <v>102</v>
      </c>
      <c r="E57" s="44" t="s">
        <v>109</v>
      </c>
      <c r="F57" s="44" t="s">
        <v>164</v>
      </c>
      <c r="G57" s="44" t="s">
        <v>185</v>
      </c>
      <c r="H57" s="44" t="s">
        <v>232</v>
      </c>
      <c r="I57" s="44" t="s">
        <v>249</v>
      </c>
      <c r="J57" s="45">
        <v>1</v>
      </c>
      <c r="K57" s="46"/>
    </row>
    <row r="58" spans="1:11" x14ac:dyDescent="0.2">
      <c r="A58" s="31"/>
      <c r="B58" s="40"/>
      <c r="C58" s="40"/>
      <c r="D58" s="40"/>
      <c r="E58" s="40"/>
      <c r="F58" s="41"/>
      <c r="G58" s="15"/>
      <c r="H58" s="15"/>
      <c r="I58" s="15"/>
      <c r="J58" s="43">
        <f>SUM(J12:J57)</f>
        <v>157</v>
      </c>
      <c r="K58" s="15"/>
    </row>
    <row r="59" spans="1:11" customFormat="1" ht="13.7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32" t="s">
        <v>2</v>
      </c>
      <c r="K59" s="15"/>
    </row>
    <row r="60" spans="1:11" customFormat="1" ht="12.9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32"/>
      <c r="K60" s="15"/>
    </row>
    <row r="61" spans="1:11" customFormat="1" ht="12.95" customHeight="1" x14ac:dyDescent="0.2">
      <c r="J61" s="24"/>
    </row>
    <row r="62" spans="1:11" customFormat="1" ht="12.95" customHeight="1" x14ac:dyDescent="0.2">
      <c r="J62" s="24"/>
    </row>
    <row r="63" spans="1:11" customFormat="1" ht="12.95" customHeight="1" x14ac:dyDescent="0.2">
      <c r="J63" s="24"/>
    </row>
    <row r="64" spans="1:11" customFormat="1" ht="9.75" customHeight="1" x14ac:dyDescent="0.2">
      <c r="J64" s="24"/>
    </row>
    <row r="65" spans="10:10" customFormat="1" ht="12.95" customHeight="1" x14ac:dyDescent="0.2">
      <c r="J65" s="24"/>
    </row>
    <row r="66" spans="10:10" customFormat="1" ht="12.95" customHeight="1" x14ac:dyDescent="0.2">
      <c r="J66" s="24"/>
    </row>
    <row r="67" spans="10:10" customFormat="1" ht="12.95" customHeight="1" x14ac:dyDescent="0.2">
      <c r="J67" s="24"/>
    </row>
  </sheetData>
  <phoneticPr fontId="0" type="noConversion"/>
  <pageMargins left="0.46" right="0.36" top="0.57999999999999996" bottom="1" header="0.5" footer="0.5"/>
  <pageSetup paperSize="9" orientation="landscape" horizontalDpi="200" verticalDpi="200" r:id="rId1"/>
  <headerFooter alignWithMargins="0">
    <oddFooter>&amp;L&amp;BAltium Limited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9" sqref="B19"/>
    </sheetView>
  </sheetViews>
  <sheetFormatPr defaultRowHeight="12.75" x14ac:dyDescent="0.2"/>
  <cols>
    <col min="1" max="1" width="30.28515625" style="13" customWidth="1"/>
    <col min="2" max="2" width="108.5703125" style="13" customWidth="1"/>
  </cols>
  <sheetData>
    <row r="1" spans="1:2" s="15" customFormat="1" ht="17.25" customHeight="1" x14ac:dyDescent="0.2">
      <c r="A1" s="14" t="s">
        <v>4</v>
      </c>
      <c r="B1" s="52" t="s">
        <v>251</v>
      </c>
    </row>
    <row r="2" spans="1:2" s="15" customFormat="1" ht="17.25" customHeight="1" x14ac:dyDescent="0.2">
      <c r="A2" s="16" t="s">
        <v>6</v>
      </c>
      <c r="B2" s="53" t="s">
        <v>252</v>
      </c>
    </row>
    <row r="3" spans="1:2" s="15" customFormat="1" ht="17.25" customHeight="1" x14ac:dyDescent="0.2">
      <c r="A3" s="17" t="s">
        <v>5</v>
      </c>
      <c r="B3" s="54" t="s">
        <v>253</v>
      </c>
    </row>
    <row r="4" spans="1:2" s="15" customFormat="1" ht="17.25" customHeight="1" x14ac:dyDescent="0.2">
      <c r="A4" s="16" t="s">
        <v>7</v>
      </c>
      <c r="B4" s="53" t="s">
        <v>252</v>
      </c>
    </row>
    <row r="5" spans="1:2" s="15" customFormat="1" ht="17.25" customHeight="1" x14ac:dyDescent="0.2">
      <c r="A5" s="17" t="s">
        <v>8</v>
      </c>
      <c r="B5" s="54" t="s">
        <v>251</v>
      </c>
    </row>
    <row r="6" spans="1:2" s="15" customFormat="1" ht="17.25" customHeight="1" x14ac:dyDescent="0.2">
      <c r="A6" s="16" t="s">
        <v>3</v>
      </c>
      <c r="B6" s="53" t="s">
        <v>18</v>
      </c>
    </row>
    <row r="7" spans="1:2" s="15" customFormat="1" ht="17.25" customHeight="1" x14ac:dyDescent="0.2">
      <c r="A7" s="17" t="s">
        <v>9</v>
      </c>
      <c r="B7" s="54" t="s">
        <v>254</v>
      </c>
    </row>
    <row r="8" spans="1:2" s="15" customFormat="1" ht="17.25" customHeight="1" x14ac:dyDescent="0.2">
      <c r="A8" s="16" t="s">
        <v>10</v>
      </c>
      <c r="B8" s="53" t="s">
        <v>20</v>
      </c>
    </row>
    <row r="9" spans="1:2" s="15" customFormat="1" ht="17.25" customHeight="1" x14ac:dyDescent="0.2">
      <c r="A9" s="17" t="s">
        <v>11</v>
      </c>
      <c r="B9" s="54" t="s">
        <v>19</v>
      </c>
    </row>
    <row r="10" spans="1:2" s="15" customFormat="1" ht="17.25" customHeight="1" x14ac:dyDescent="0.2">
      <c r="A10" s="16" t="s">
        <v>13</v>
      </c>
      <c r="B10" s="53" t="s">
        <v>255</v>
      </c>
    </row>
    <row r="11" spans="1:2" s="15" customFormat="1" ht="17.25" customHeight="1" x14ac:dyDescent="0.2">
      <c r="A11" s="17" t="s">
        <v>12</v>
      </c>
      <c r="B11" s="54" t="s">
        <v>17</v>
      </c>
    </row>
    <row r="12" spans="1:2" s="15" customFormat="1" ht="17.25" customHeight="1" x14ac:dyDescent="0.2">
      <c r="A12" s="16" t="s">
        <v>14</v>
      </c>
      <c r="B12" s="53" t="s">
        <v>256</v>
      </c>
    </row>
    <row r="13" spans="1:2" s="15" customFormat="1" ht="17.25" customHeight="1" x14ac:dyDescent="0.2">
      <c r="A13" s="17" t="s">
        <v>15</v>
      </c>
      <c r="B13" s="54" t="s">
        <v>257</v>
      </c>
    </row>
    <row r="14" spans="1:2" s="15" customFormat="1" ht="17.25" customHeight="1" thickBot="1" x14ac:dyDescent="0.25">
      <c r="A14" s="18" t="s">
        <v>16</v>
      </c>
      <c r="B14" s="55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BOM Report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rename_me</dc:creator>
  <cp:lastModifiedBy>AndrewRP</cp:lastModifiedBy>
  <cp:lastPrinted>2002-11-05T13:50:54Z</cp:lastPrinted>
  <dcterms:created xsi:type="dcterms:W3CDTF">2000-10-27T00:30:29Z</dcterms:created>
  <dcterms:modified xsi:type="dcterms:W3CDTF">2026-02-12T19:11:53Z</dcterms:modified>
</cp:coreProperties>
</file>